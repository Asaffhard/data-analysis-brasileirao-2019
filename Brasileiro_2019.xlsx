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<sst xmlns="http://schemas.openxmlformats.org/spreadsheetml/2006/main" count="60" uniqueCount="57">
  <si>
    <t>Classificação</t>
  </si>
  <si>
    <t>Times</t>
  </si>
  <si>
    <t>Partidas jogadas</t>
  </si>
  <si>
    <t>Vitórias</t>
  </si>
  <si>
    <t>Empates</t>
  </si>
  <si>
    <t>Derrotas</t>
  </si>
  <si>
    <t>Gols pro</t>
  </si>
  <si>
    <t>Gols sofridos</t>
  </si>
  <si>
    <t>Saldo de gol</t>
  </si>
  <si>
    <t>Pontos</t>
  </si>
  <si>
    <t>média público</t>
  </si>
  <si>
    <t xml:space="preserve">Passes </t>
  </si>
  <si>
    <t>Reforços 18/19</t>
  </si>
  <si>
    <t>Estrangeiros</t>
  </si>
  <si>
    <t>Média de Idade</t>
  </si>
  <si>
    <t>Valor mercado</t>
  </si>
  <si>
    <t>Time</t>
  </si>
  <si>
    <t>Jogador</t>
  </si>
  <si>
    <t>Gols</t>
  </si>
  <si>
    <t>Flamengo</t>
  </si>
  <si>
    <t>(Flamengo)</t>
  </si>
  <si>
    <t>Gabigol</t>
  </si>
  <si>
    <t>Santos</t>
  </si>
  <si>
    <t>Bruno Henrique</t>
  </si>
  <si>
    <t>Palmeiras</t>
  </si>
  <si>
    <t>(Bahia)</t>
  </si>
  <si>
    <t>Gilberto</t>
  </si>
  <si>
    <t>Grêmio</t>
  </si>
  <si>
    <t>(Santos)</t>
  </si>
  <si>
    <t>Eduardo Sasha</t>
  </si>
  <si>
    <t>Ath Paranaense</t>
  </si>
  <si>
    <t>(Chapecoense)</t>
  </si>
  <si>
    <t>Everaldo</t>
  </si>
  <si>
    <t>São Paulo</t>
  </si>
  <si>
    <t>Arrascaeta</t>
  </si>
  <si>
    <t>Internacional</t>
  </si>
  <si>
    <t>(Fortaleza)</t>
  </si>
  <si>
    <t>W. Paulista</t>
  </si>
  <si>
    <t>Corinthians</t>
  </si>
  <si>
    <t>(Ceará)</t>
  </si>
  <si>
    <t>T. Galhardo</t>
  </si>
  <si>
    <t>Fortaleza</t>
  </si>
  <si>
    <t>C. Sánchez</t>
  </si>
  <si>
    <t>Goiás</t>
  </si>
  <si>
    <t>(Grêmio)</t>
  </si>
  <si>
    <t>Everton</t>
  </si>
  <si>
    <t>Bahia</t>
  </si>
  <si>
    <t>Vasco da Gama</t>
  </si>
  <si>
    <t>Atlético Mineiro</t>
  </si>
  <si>
    <t>Fluminense</t>
  </si>
  <si>
    <t>Botafogo (RJ)</t>
  </si>
  <si>
    <t>Ceará</t>
  </si>
  <si>
    <t>Cruzeiro</t>
  </si>
  <si>
    <t>CSA</t>
  </si>
  <si>
    <t>Chapecoense</t>
  </si>
  <si>
    <t>Avaí</t>
  </si>
  <si>
    <t>7.43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</si>
</sst>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16">
    <font>
      <sz val="10.0"/>
      <color rgb="FF000000"/>
      <name val="Arial"/>
      <scheme val="minor"/>
    </font>
    <font>
      <color theme="1"/>
      <name val="Arial"/>
      <scheme val="minor"/>
    </font>
    <font>
      <sz val="10.0"/>
      <color rgb="FF000000"/>
      <name val="Arial"/>
    </font>
    <font>
      <sz val="12.0"/>
      <color rgb="FF999999"/>
      <name val="Cuprum"/>
    </font>
    <font>
      <color rgb="FF000000"/>
      <name val="Verdana"/>
    </font>
    <font>
      <u/>
      <color rgb="FF0000FF"/>
      <name val="Arial"/>
    </font>
    <font>
      <sz val="10.0"/>
      <color rgb="FF000000"/>
      <name val="Verdana"/>
    </font>
    <font>
      <sz val="10.0"/>
      <color rgb="FF333333"/>
      <name val="Verdana"/>
    </font>
    <font>
      <sz val="10.0"/>
      <color rgb="FF57585A"/>
      <name val="Verdana"/>
    </font>
    <font>
      <color theme="1"/>
      <name val="Verdana"/>
    </font>
    <font>
      <sz val="12.0"/>
      <color rgb="FF000000"/>
      <name val="Verdana"/>
    </font>
    <font>
      <u/>
      <color rgb="FF0000FF"/>
      <name val="Arial"/>
    </font>
    <font>
      <sz val="9.0"/>
      <color rgb="FF57585A"/>
      <name val="Verdana"/>
    </font>
    <font>
      <color rgb="FFFFFFFF"/>
      <name val="Verdana"/>
    </font>
    <font>
      <u/>
      <color rgb="FF0000FF"/>
      <name val="Arial"/>
    </font>
    <font>
      <sz val="10.0"/>
      <color theme="1"/>
      <name val="Verdana"/>
    </font>
  </fonts>
  <fills count="7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  <fill>
      <patternFill patternType="solid">
        <fgColor rgb="FFFF0000"/>
        <bgColor rgb="FFFF0000"/>
      </patternFill>
    </fill>
  </fills>
  <borders count="7">
    <border/>
    <border>
      <right style="thin">
        <color rgb="FFE9E7DF"/>
      </right>
      <bottom style="thin">
        <color rgb="FFE9E7DF"/>
      </bottom>
    </border>
    <border>
      <left style="thin">
        <color rgb="FF747678"/>
      </left>
      <bottom style="hair">
        <color rgb="FFDDDDDD"/>
      </bottom>
    </border>
    <border>
      <left style="thin">
        <color rgb="FFDDDDDD"/>
      </left>
      <bottom style="hair">
        <color rgb="FFDDDDDD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DDDDDD"/>
      </left>
      <bottom style="thin">
        <color rgb="FF747678"/>
      </bottom>
    </border>
    <border>
      <left style="thin">
        <color rgb="FF747678"/>
      </left>
      <bottom style="thin">
        <color rgb="FF747678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readingOrder="0" vertical="top"/>
    </xf>
    <xf borderId="1" fillId="0" fontId="3" numFmtId="0" xfId="0" applyAlignment="1" applyBorder="1" applyFont="1">
      <alignment horizontal="center" vertical="top"/>
    </xf>
    <xf borderId="2" fillId="2" fontId="4" numFmtId="0" xfId="0" applyAlignment="1" applyBorder="1" applyFill="1" applyFont="1">
      <alignment horizontal="right" readingOrder="0" shrinkToFit="0" wrapText="0"/>
    </xf>
    <xf borderId="3" fillId="3" fontId="5" numFmtId="0" xfId="0" applyAlignment="1" applyBorder="1" applyFill="1" applyFont="1">
      <alignment horizontal="left" readingOrder="0" shrinkToFit="0" wrapText="0"/>
    </xf>
    <xf borderId="3" fillId="3" fontId="4" numFmtId="0" xfId="0" applyAlignment="1" applyBorder="1" applyFont="1">
      <alignment horizontal="right" readingOrder="0" shrinkToFit="0" wrapText="0"/>
    </xf>
    <xf borderId="3" fillId="3" fontId="4" numFmtId="0" xfId="0" applyAlignment="1" applyBorder="1" applyFont="1">
      <alignment horizontal="right" shrinkToFit="0" wrapText="0"/>
    </xf>
    <xf borderId="0" fillId="3" fontId="6" numFmtId="3" xfId="0" applyAlignment="1" applyFont="1" applyNumberFormat="1">
      <alignment horizontal="right" readingOrder="0" shrinkToFit="0" wrapText="0"/>
    </xf>
    <xf borderId="0" fillId="3" fontId="6" numFmtId="0" xfId="0" applyAlignment="1" applyFont="1">
      <alignment horizontal="right" readingOrder="0" shrinkToFit="0" wrapText="0"/>
    </xf>
    <xf borderId="0" fillId="3" fontId="7" numFmtId="3" xfId="0" applyAlignment="1" applyFont="1" applyNumberFormat="1">
      <alignment horizontal="center" readingOrder="0"/>
    </xf>
    <xf borderId="0" fillId="3" fontId="8" numFmtId="0" xfId="0" applyAlignment="1" applyFont="1">
      <alignment horizontal="center" readingOrder="0"/>
    </xf>
    <xf borderId="3" fillId="0" fontId="9" numFmtId="164" xfId="0" applyAlignment="1" applyBorder="1" applyFont="1" applyNumberFormat="1">
      <alignment horizontal="center" readingOrder="0" shrinkToFit="0" wrapText="0"/>
    </xf>
    <xf borderId="3" fillId="0" fontId="9" numFmtId="3" xfId="0" applyAlignment="1" applyBorder="1" applyFont="1" applyNumberFormat="1">
      <alignment horizontal="center" readingOrder="0" shrinkToFit="0" wrapText="0"/>
    </xf>
    <xf borderId="1" fillId="0" fontId="4" numFmtId="0" xfId="0" applyAlignment="1" applyBorder="1" applyFont="1">
      <alignment readingOrder="0" vertical="top"/>
    </xf>
    <xf borderId="1" fillId="0" fontId="6" numFmtId="0" xfId="0" applyAlignment="1" applyBorder="1" applyFont="1">
      <alignment horizontal="center" readingOrder="0" vertical="top"/>
    </xf>
    <xf borderId="1" fillId="0" fontId="6" numFmtId="0" xfId="0" applyAlignment="1" applyBorder="1" applyFont="1">
      <alignment horizontal="center" vertical="top"/>
    </xf>
    <xf borderId="1" fillId="0" fontId="10" numFmtId="0" xfId="0" applyAlignment="1" applyBorder="1" applyFont="1">
      <alignment horizontal="center" vertical="top"/>
    </xf>
    <xf borderId="2" fillId="4" fontId="4" numFmtId="0" xfId="0" applyAlignment="1" applyBorder="1" applyFill="1" applyFont="1">
      <alignment horizontal="right" readingOrder="0" shrinkToFit="0" wrapText="0"/>
    </xf>
    <xf borderId="3" fillId="0" fontId="11" numFmtId="0" xfId="0" applyAlignment="1" applyBorder="1" applyFont="1">
      <alignment horizontal="left" readingOrder="0" shrinkToFit="0" wrapText="0"/>
    </xf>
    <xf borderId="2" fillId="3" fontId="4" numFmtId="0" xfId="0" applyAlignment="1" applyBorder="1" applyFont="1">
      <alignment horizontal="right" readingOrder="0" shrinkToFit="0" wrapText="0"/>
    </xf>
    <xf borderId="0" fillId="3" fontId="4" numFmtId="0" xfId="0" applyAlignment="1" applyFont="1">
      <alignment readingOrder="0"/>
    </xf>
    <xf borderId="0" fillId="3" fontId="7" numFmtId="4" xfId="0" applyAlignment="1" applyFont="1" applyNumberFormat="1">
      <alignment horizontal="center" readingOrder="0"/>
    </xf>
    <xf borderId="4" fillId="3" fontId="8" numFmtId="0" xfId="0" applyAlignment="1" applyBorder="1" applyFont="1">
      <alignment horizontal="center" readingOrder="0"/>
    </xf>
    <xf borderId="3" fillId="0" fontId="9" numFmtId="0" xfId="0" applyAlignment="1" applyBorder="1" applyFont="1">
      <alignment horizontal="center" readingOrder="0" shrinkToFit="0" wrapText="0"/>
    </xf>
    <xf borderId="3" fillId="3" fontId="4" numFmtId="0" xfId="0" applyAlignment="1" applyBorder="1" applyFont="1">
      <alignment horizontal="left" readingOrder="0" shrinkToFit="0" wrapText="0"/>
    </xf>
    <xf borderId="3" fillId="3" fontId="4" numFmtId="3" xfId="0" applyAlignment="1" applyBorder="1" applyFont="1" applyNumberFormat="1">
      <alignment horizontal="right" readingOrder="0" shrinkToFit="0" wrapText="0"/>
    </xf>
    <xf borderId="5" fillId="3" fontId="4" numFmtId="0" xfId="0" applyAlignment="1" applyBorder="1" applyFont="1">
      <alignment horizontal="right" readingOrder="0" shrinkToFit="0" wrapText="0"/>
    </xf>
    <xf borderId="0" fillId="0" fontId="9" numFmtId="3" xfId="0" applyAlignment="1" applyFont="1" applyNumberFormat="1">
      <alignment horizontal="center" readingOrder="0"/>
    </xf>
    <xf borderId="0" fillId="3" fontId="12" numFmtId="0" xfId="0" applyAlignment="1" applyFont="1">
      <alignment horizontal="center" readingOrder="0"/>
    </xf>
    <xf borderId="3" fillId="3" fontId="4" numFmtId="0" xfId="0" applyAlignment="1" applyBorder="1" applyFont="1">
      <alignment horizontal="left" shrinkToFit="0" wrapText="0"/>
    </xf>
    <xf borderId="2" fillId="5" fontId="13" numFmtId="0" xfId="0" applyAlignment="1" applyBorder="1" applyFill="1" applyFont="1">
      <alignment horizontal="right" readingOrder="0" shrinkToFit="0" wrapText="0"/>
    </xf>
    <xf borderId="6" fillId="6" fontId="13" numFmtId="0" xfId="0" applyAlignment="1" applyBorder="1" applyFill="1" applyFont="1">
      <alignment horizontal="right" readingOrder="0" shrinkToFit="0" wrapText="0"/>
    </xf>
    <xf borderId="5" fillId="0" fontId="14" numFmtId="0" xfId="0" applyAlignment="1" applyBorder="1" applyFont="1">
      <alignment horizontal="left" readingOrder="0" shrinkToFit="0" wrapText="0"/>
    </xf>
    <xf borderId="0" fillId="0" fontId="15" numFmtId="164" xfId="0" applyAlignment="1" applyFont="1" applyNumberFormat="1">
      <alignment horizontal="center" readingOrder="0"/>
    </xf>
    <xf borderId="0" fillId="0" fontId="15" numFmtId="3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3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bref.com/en/squads/f205258a/2019/Avai-Stats" TargetMode="External"/><Relationship Id="rId11" Type="http://schemas.openxmlformats.org/officeDocument/2006/relationships/hyperlink" Target="https://fbref.com/en/squads/157b7fee/2019/Bahia-Stats" TargetMode="External"/><Relationship Id="rId10" Type="http://schemas.openxmlformats.org/officeDocument/2006/relationships/hyperlink" Target="https://fbref.com/en/squads/78c617cc/2019/Goias-Stats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fbref.com/en/squads/422bb734/2019/Atletico-Mineiro-Stats" TargetMode="External"/><Relationship Id="rId12" Type="http://schemas.openxmlformats.org/officeDocument/2006/relationships/hyperlink" Target="https://fbref.com/en/squads/83f55dbe/2019/Vasco-da-Gama-Stats" TargetMode="External"/><Relationship Id="rId1" Type="http://schemas.openxmlformats.org/officeDocument/2006/relationships/hyperlink" Target="https://fbref.com/en/squads/639950ae/2019/Flamengo-Stats" TargetMode="External"/><Relationship Id="rId2" Type="http://schemas.openxmlformats.org/officeDocument/2006/relationships/hyperlink" Target="https://fbref.com/en/squads/712c528f/2019/Santos-Stats" TargetMode="External"/><Relationship Id="rId3" Type="http://schemas.openxmlformats.org/officeDocument/2006/relationships/hyperlink" Target="https://fbref.com/en/squads/abdce579/2019/Palmeiras-Stats" TargetMode="External"/><Relationship Id="rId4" Type="http://schemas.openxmlformats.org/officeDocument/2006/relationships/hyperlink" Target="https://fbref.com/en/squads/d5ae3703/2019/Gremio-Stats" TargetMode="External"/><Relationship Id="rId9" Type="http://schemas.openxmlformats.org/officeDocument/2006/relationships/hyperlink" Target="https://fbref.com/en/squads/a9d0ab0e/2019/Fortaleza-Stats" TargetMode="External"/><Relationship Id="rId15" Type="http://schemas.openxmlformats.org/officeDocument/2006/relationships/hyperlink" Target="https://fbref.com/en/squads/d9fdd9d9/2019/Botafogo-RJ-Stats" TargetMode="External"/><Relationship Id="rId14" Type="http://schemas.openxmlformats.org/officeDocument/2006/relationships/hyperlink" Target="https://fbref.com/en/squads/84d9701c/2019/Fluminense-Stats" TargetMode="External"/><Relationship Id="rId17" Type="http://schemas.openxmlformats.org/officeDocument/2006/relationships/hyperlink" Target="https://fbref.com/en/squads/03ff5eeb/2019/Cruzeiro-Stats" TargetMode="External"/><Relationship Id="rId16" Type="http://schemas.openxmlformats.org/officeDocument/2006/relationships/hyperlink" Target="https://fbref.com/en/squads/2f335e17/2019/Ceara-Stats" TargetMode="External"/><Relationship Id="rId5" Type="http://schemas.openxmlformats.org/officeDocument/2006/relationships/hyperlink" Target="https://fbref.com/en/squads/2091c619/2019/Athletico-Paranaense-Stats" TargetMode="External"/><Relationship Id="rId19" Type="http://schemas.openxmlformats.org/officeDocument/2006/relationships/hyperlink" Target="https://fbref.com/en/squads/baa296ad/2019/Chapecoense-Stats" TargetMode="External"/><Relationship Id="rId6" Type="http://schemas.openxmlformats.org/officeDocument/2006/relationships/hyperlink" Target="https://fbref.com/en/squads/5f232eb1/2019/Sao-Paulo-Stats" TargetMode="External"/><Relationship Id="rId18" Type="http://schemas.openxmlformats.org/officeDocument/2006/relationships/hyperlink" Target="https://fbref.com/en/squads/05aff519/2019/CSA-Stats" TargetMode="External"/><Relationship Id="rId7" Type="http://schemas.openxmlformats.org/officeDocument/2006/relationships/hyperlink" Target="https://fbref.com/en/squads/6f7e1f03/2019/Internacional-Stats" TargetMode="External"/><Relationship Id="rId8" Type="http://schemas.openxmlformats.org/officeDocument/2006/relationships/hyperlink" Target="https://fbref.com/en/squads/bf4acd28/2019/Corinthians-Sta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3" t="s">
        <v>16</v>
      </c>
      <c r="R1" s="3" t="s">
        <v>17</v>
      </c>
      <c r="S1" s="3" t="s">
        <v>18</v>
      </c>
      <c r="T1" s="3"/>
      <c r="U1" s="3"/>
      <c r="V1" s="4"/>
    </row>
    <row r="2">
      <c r="A2" s="5">
        <v>1.0</v>
      </c>
      <c r="B2" s="6" t="s">
        <v>19</v>
      </c>
      <c r="C2" s="7">
        <v>38.0</v>
      </c>
      <c r="D2" s="7">
        <v>28.0</v>
      </c>
      <c r="E2" s="7">
        <v>6.0</v>
      </c>
      <c r="F2" s="7">
        <v>4.0</v>
      </c>
      <c r="G2" s="7">
        <v>86.0</v>
      </c>
      <c r="H2" s="7">
        <v>37.0</v>
      </c>
      <c r="I2" s="8">
        <f>+49</f>
        <v>49</v>
      </c>
      <c r="J2" s="7">
        <v>90.0</v>
      </c>
      <c r="K2" s="9">
        <v>58809.0</v>
      </c>
      <c r="L2" s="10">
        <v>20202.0</v>
      </c>
      <c r="M2" s="11">
        <v>1.63935E8</v>
      </c>
      <c r="N2" s="12">
        <v>7.0</v>
      </c>
      <c r="O2" s="13">
        <v>45466.0</v>
      </c>
      <c r="P2" s="14">
        <v>5.31675E8</v>
      </c>
      <c r="Q2" s="15" t="s">
        <v>20</v>
      </c>
      <c r="R2" s="16" t="s">
        <v>21</v>
      </c>
      <c r="S2" s="17">
        <v>25.0</v>
      </c>
      <c r="T2" s="17"/>
      <c r="U2" s="18"/>
      <c r="V2" s="18"/>
    </row>
    <row r="3">
      <c r="A3" s="5">
        <v>2.0</v>
      </c>
      <c r="B3" s="6" t="s">
        <v>22</v>
      </c>
      <c r="C3" s="7">
        <v>38.0</v>
      </c>
      <c r="D3" s="7">
        <v>22.0</v>
      </c>
      <c r="E3" s="7">
        <v>8.0</v>
      </c>
      <c r="F3" s="7">
        <v>8.0</v>
      </c>
      <c r="G3" s="7">
        <v>60.0</v>
      </c>
      <c r="H3" s="7">
        <v>33.0</v>
      </c>
      <c r="I3" s="8">
        <f>+27</f>
        <v>27</v>
      </c>
      <c r="J3" s="7">
        <v>74.0</v>
      </c>
      <c r="K3" s="9">
        <v>33661.0</v>
      </c>
      <c r="L3" s="10">
        <v>18739.0</v>
      </c>
      <c r="M3" s="11">
        <v>1.76013E8</v>
      </c>
      <c r="N3" s="12">
        <v>8.0</v>
      </c>
      <c r="O3" s="13">
        <v>45374.0</v>
      </c>
      <c r="P3" s="14">
        <v>3.09599E8</v>
      </c>
      <c r="Q3" s="15" t="s">
        <v>20</v>
      </c>
      <c r="R3" s="17" t="s">
        <v>23</v>
      </c>
      <c r="S3" s="17">
        <v>21.0</v>
      </c>
      <c r="T3" s="17"/>
      <c r="U3" s="18"/>
      <c r="V3" s="18"/>
    </row>
    <row r="4">
      <c r="A4" s="5">
        <v>3.0</v>
      </c>
      <c r="B4" s="6" t="s">
        <v>24</v>
      </c>
      <c r="C4" s="7">
        <v>38.0</v>
      </c>
      <c r="D4" s="7">
        <v>21.0</v>
      </c>
      <c r="E4" s="7">
        <v>11.0</v>
      </c>
      <c r="F4" s="7">
        <v>6.0</v>
      </c>
      <c r="G4" s="7">
        <v>61.0</v>
      </c>
      <c r="H4" s="7">
        <v>32.0</v>
      </c>
      <c r="I4" s="8">
        <f>+29</f>
        <v>29</v>
      </c>
      <c r="J4" s="7">
        <v>74.0</v>
      </c>
      <c r="K4" s="9">
        <v>32894.0</v>
      </c>
      <c r="L4" s="10">
        <v>16277.0</v>
      </c>
      <c r="M4" s="11">
        <v>4.16295E8</v>
      </c>
      <c r="N4" s="12">
        <v>4.0</v>
      </c>
      <c r="O4" s="13">
        <v>45316.0</v>
      </c>
      <c r="P4" s="14">
        <v>6.35085E8</v>
      </c>
      <c r="Q4" s="15" t="s">
        <v>25</v>
      </c>
      <c r="R4" s="17" t="s">
        <v>26</v>
      </c>
      <c r="S4" s="17">
        <v>14.0</v>
      </c>
      <c r="T4" s="17"/>
      <c r="U4" s="18"/>
      <c r="V4" s="18"/>
    </row>
    <row r="5">
      <c r="A5" s="5">
        <v>4.0</v>
      </c>
      <c r="B5" s="6" t="s">
        <v>27</v>
      </c>
      <c r="C5" s="7">
        <v>38.0</v>
      </c>
      <c r="D5" s="7">
        <v>19.0</v>
      </c>
      <c r="E5" s="7">
        <v>8.0</v>
      </c>
      <c r="F5" s="7">
        <v>11.0</v>
      </c>
      <c r="G5" s="7">
        <v>64.0</v>
      </c>
      <c r="H5" s="7">
        <v>39.0</v>
      </c>
      <c r="I5" s="8">
        <f>+25</f>
        <v>25</v>
      </c>
      <c r="J5" s="7">
        <v>65.0</v>
      </c>
      <c r="K5" s="9">
        <v>29624.0</v>
      </c>
      <c r="L5" s="10">
        <v>21513.0</v>
      </c>
      <c r="M5" s="11">
        <v>1.55016E8</v>
      </c>
      <c r="N5" s="12">
        <v>2.0</v>
      </c>
      <c r="O5" s="13">
        <v>45466.0</v>
      </c>
      <c r="P5" s="14">
        <v>3.18375E8</v>
      </c>
      <c r="Q5" s="15" t="s">
        <v>28</v>
      </c>
      <c r="R5" s="17" t="s">
        <v>29</v>
      </c>
      <c r="S5" s="17">
        <v>14.0</v>
      </c>
      <c r="T5" s="17"/>
      <c r="U5" s="18"/>
      <c r="V5" s="18"/>
    </row>
    <row r="6">
      <c r="A6" s="19">
        <v>5.0</v>
      </c>
      <c r="B6" s="20" t="s">
        <v>30</v>
      </c>
      <c r="C6" s="7">
        <v>38.0</v>
      </c>
      <c r="D6" s="7">
        <v>18.0</v>
      </c>
      <c r="E6" s="7">
        <v>10.0</v>
      </c>
      <c r="F6" s="7">
        <v>10.0</v>
      </c>
      <c r="G6" s="7">
        <v>51.0</v>
      </c>
      <c r="H6" s="7">
        <v>32.0</v>
      </c>
      <c r="I6" s="8">
        <f>+19</f>
        <v>19</v>
      </c>
      <c r="J6" s="7">
        <v>64.0</v>
      </c>
      <c r="K6" s="9">
        <v>28413.0</v>
      </c>
      <c r="L6" s="10">
        <v>19726.0</v>
      </c>
      <c r="M6" s="11">
        <v>2.21085E8</v>
      </c>
      <c r="N6" s="12">
        <v>6.0</v>
      </c>
      <c r="O6" s="13">
        <v>45495.0</v>
      </c>
      <c r="P6" s="14">
        <v>1.51065E8</v>
      </c>
      <c r="Q6" s="15" t="s">
        <v>31</v>
      </c>
      <c r="R6" s="17" t="s">
        <v>32</v>
      </c>
      <c r="S6" s="17">
        <v>13.0</v>
      </c>
      <c r="T6" s="17"/>
      <c r="U6" s="18"/>
      <c r="V6" s="18"/>
    </row>
    <row r="7">
      <c r="A7" s="19">
        <v>6.0</v>
      </c>
      <c r="B7" s="20" t="s">
        <v>33</v>
      </c>
      <c r="C7" s="7">
        <v>38.0</v>
      </c>
      <c r="D7" s="7">
        <v>17.0</v>
      </c>
      <c r="E7" s="7">
        <v>12.0</v>
      </c>
      <c r="F7" s="7">
        <v>9.0</v>
      </c>
      <c r="G7" s="7">
        <v>39.0</v>
      </c>
      <c r="H7" s="7">
        <v>30.0</v>
      </c>
      <c r="I7" s="8">
        <f>+9</f>
        <v>9</v>
      </c>
      <c r="J7" s="7">
        <v>63.0</v>
      </c>
      <c r="K7" s="9">
        <v>27049.0</v>
      </c>
      <c r="L7" s="7">
        <v>19033.0</v>
      </c>
      <c r="M7" s="11">
        <v>3.27599E8</v>
      </c>
      <c r="N7" s="12">
        <v>5.0</v>
      </c>
      <c r="O7" s="13">
        <v>45495.0</v>
      </c>
      <c r="P7" s="14">
        <v>4.05585E8</v>
      </c>
      <c r="Q7" s="15" t="s">
        <v>20</v>
      </c>
      <c r="R7" s="17" t="s">
        <v>34</v>
      </c>
      <c r="S7" s="17">
        <v>13.0</v>
      </c>
      <c r="T7" s="17"/>
      <c r="U7" s="18"/>
      <c r="V7" s="18"/>
    </row>
    <row r="8">
      <c r="A8" s="21">
        <v>7.0</v>
      </c>
      <c r="B8" s="20" t="s">
        <v>35</v>
      </c>
      <c r="C8" s="7">
        <v>38.0</v>
      </c>
      <c r="D8" s="7">
        <v>16.0</v>
      </c>
      <c r="E8" s="7">
        <v>9.0</v>
      </c>
      <c r="F8" s="7">
        <v>13.0</v>
      </c>
      <c r="G8" s="7">
        <v>44.0</v>
      </c>
      <c r="H8" s="7">
        <v>39.0</v>
      </c>
      <c r="I8" s="8">
        <f>+5</f>
        <v>5</v>
      </c>
      <c r="J8" s="7">
        <v>57.0</v>
      </c>
      <c r="K8" s="9">
        <v>26742.0</v>
      </c>
      <c r="L8" s="22">
        <v>20116.0</v>
      </c>
      <c r="M8" s="11">
        <v>1.65825E8</v>
      </c>
      <c r="N8" s="12">
        <v>9.0</v>
      </c>
      <c r="O8" s="13">
        <v>45406.0</v>
      </c>
      <c r="P8" s="14">
        <v>2.76525E8</v>
      </c>
      <c r="Q8" s="15" t="s">
        <v>36</v>
      </c>
      <c r="R8" s="16" t="s">
        <v>37</v>
      </c>
      <c r="S8" s="17">
        <v>13.0</v>
      </c>
      <c r="T8" s="17"/>
      <c r="U8" s="18"/>
      <c r="V8" s="18"/>
    </row>
    <row r="9">
      <c r="A9" s="21">
        <v>8.0</v>
      </c>
      <c r="B9" s="20" t="s">
        <v>38</v>
      </c>
      <c r="C9" s="7">
        <v>38.0</v>
      </c>
      <c r="D9" s="7">
        <v>14.0</v>
      </c>
      <c r="E9" s="7">
        <v>14.0</v>
      </c>
      <c r="F9" s="7">
        <v>10.0</v>
      </c>
      <c r="G9" s="7">
        <v>42.0</v>
      </c>
      <c r="H9" s="7">
        <v>34.0</v>
      </c>
      <c r="I9" s="8">
        <f>+8</f>
        <v>8</v>
      </c>
      <c r="J9" s="7">
        <v>56.0</v>
      </c>
      <c r="K9" s="9">
        <v>26674.0</v>
      </c>
      <c r="L9" s="10">
        <v>18190.0</v>
      </c>
      <c r="M9" s="11">
        <v>1.71225E8</v>
      </c>
      <c r="N9" s="12">
        <v>6.0</v>
      </c>
      <c r="O9" s="13">
        <v>45435.0</v>
      </c>
      <c r="P9" s="14">
        <v>2.73599E8</v>
      </c>
      <c r="Q9" s="15" t="s">
        <v>39</v>
      </c>
      <c r="R9" s="16" t="s">
        <v>40</v>
      </c>
      <c r="S9" s="17">
        <v>12.0</v>
      </c>
      <c r="T9" s="17"/>
      <c r="U9" s="18"/>
      <c r="V9" s="18"/>
    </row>
    <row r="10">
      <c r="A10" s="21">
        <v>9.0</v>
      </c>
      <c r="B10" s="20" t="s">
        <v>41</v>
      </c>
      <c r="C10" s="7">
        <v>38.0</v>
      </c>
      <c r="D10" s="7">
        <v>15.0</v>
      </c>
      <c r="E10" s="7">
        <v>8.0</v>
      </c>
      <c r="F10" s="7">
        <v>15.0</v>
      </c>
      <c r="G10" s="7">
        <v>50.0</v>
      </c>
      <c r="H10" s="7">
        <v>49.0</v>
      </c>
      <c r="I10" s="8">
        <f>+1</f>
        <v>1</v>
      </c>
      <c r="J10" s="7">
        <v>53.0</v>
      </c>
      <c r="K10" s="9">
        <v>21483.0</v>
      </c>
      <c r="L10" s="10">
        <v>15606.0</v>
      </c>
      <c r="M10" s="23">
        <v>4.1535E7</v>
      </c>
      <c r="N10" s="12">
        <v>4.0</v>
      </c>
      <c r="O10" s="13">
        <v>45437.0</v>
      </c>
      <c r="P10" s="14">
        <v>1.1007E8</v>
      </c>
      <c r="Q10" s="15" t="s">
        <v>28</v>
      </c>
      <c r="R10" s="16" t="s">
        <v>42</v>
      </c>
      <c r="S10" s="17">
        <v>12.0</v>
      </c>
      <c r="T10" s="17"/>
      <c r="U10" s="18"/>
      <c r="V10" s="18"/>
    </row>
    <row r="11">
      <c r="A11" s="21">
        <v>10.0</v>
      </c>
      <c r="B11" s="20" t="s">
        <v>43</v>
      </c>
      <c r="C11" s="7">
        <v>38.0</v>
      </c>
      <c r="D11" s="7">
        <v>15.0</v>
      </c>
      <c r="E11" s="7">
        <v>7.0</v>
      </c>
      <c r="F11" s="7">
        <v>16.0</v>
      </c>
      <c r="G11" s="7">
        <v>46.0</v>
      </c>
      <c r="H11" s="7">
        <v>64.0</v>
      </c>
      <c r="I11" s="7">
        <v>-18.0</v>
      </c>
      <c r="J11" s="7">
        <v>52.0</v>
      </c>
      <c r="K11" s="9">
        <v>21092.0</v>
      </c>
      <c r="L11" s="10">
        <v>13996.0</v>
      </c>
      <c r="M11" s="11">
        <v>4.0635E7</v>
      </c>
      <c r="N11" s="12">
        <v>2.0</v>
      </c>
      <c r="O11" s="13">
        <v>45496.0</v>
      </c>
      <c r="P11" s="14">
        <v>1.05975E8</v>
      </c>
      <c r="Q11" s="15" t="s">
        <v>44</v>
      </c>
      <c r="R11" s="17" t="s">
        <v>45</v>
      </c>
      <c r="S11" s="17">
        <v>11.0</v>
      </c>
      <c r="T11" s="17"/>
      <c r="U11" s="18"/>
      <c r="V11" s="18"/>
    </row>
    <row r="12">
      <c r="A12" s="21">
        <v>11.0</v>
      </c>
      <c r="B12" s="20" t="s">
        <v>46</v>
      </c>
      <c r="C12" s="7">
        <v>38.0</v>
      </c>
      <c r="D12" s="7">
        <v>12.0</v>
      </c>
      <c r="E12" s="7">
        <v>13.0</v>
      </c>
      <c r="F12" s="7">
        <v>13.0</v>
      </c>
      <c r="G12" s="7">
        <v>44.0</v>
      </c>
      <c r="H12" s="7">
        <v>43.0</v>
      </c>
      <c r="I12" s="8">
        <f>+1</f>
        <v>1</v>
      </c>
      <c r="J12" s="7">
        <v>49.0</v>
      </c>
      <c r="K12" s="9">
        <v>20651.0</v>
      </c>
      <c r="L12" s="7">
        <v>16564.0</v>
      </c>
      <c r="M12" s="11">
        <v>1.48725E8</v>
      </c>
      <c r="N12" s="24">
        <v>1.0</v>
      </c>
      <c r="O12" s="13">
        <v>45528.0</v>
      </c>
      <c r="P12" s="14">
        <v>1.90035E8</v>
      </c>
      <c r="Q12" s="14"/>
      <c r="R12" s="25"/>
      <c r="S12" s="26"/>
    </row>
    <row r="13">
      <c r="A13" s="21">
        <v>12.0</v>
      </c>
      <c r="B13" s="20" t="s">
        <v>47</v>
      </c>
      <c r="C13" s="7">
        <v>38.0</v>
      </c>
      <c r="D13" s="7">
        <v>12.0</v>
      </c>
      <c r="E13" s="7">
        <v>13.0</v>
      </c>
      <c r="F13" s="7">
        <v>13.0</v>
      </c>
      <c r="G13" s="7">
        <v>39.0</v>
      </c>
      <c r="H13" s="7">
        <v>45.0</v>
      </c>
      <c r="I13" s="7">
        <v>-6.0</v>
      </c>
      <c r="J13" s="7">
        <v>49.0</v>
      </c>
      <c r="K13" s="27">
        <v>19044.0</v>
      </c>
      <c r="L13" s="28">
        <v>15252.0</v>
      </c>
      <c r="M13" s="11">
        <v>8.2035E7</v>
      </c>
      <c r="N13" s="12">
        <v>4.0</v>
      </c>
      <c r="O13" s="13">
        <v>45435.0</v>
      </c>
      <c r="P13" s="14">
        <v>1.96875E8</v>
      </c>
      <c r="Q13" s="14"/>
      <c r="R13" s="25"/>
      <c r="S13" s="26"/>
    </row>
    <row r="14">
      <c r="A14" s="21">
        <v>13.0</v>
      </c>
      <c r="B14" s="20" t="s">
        <v>48</v>
      </c>
      <c r="C14" s="7">
        <v>38.0</v>
      </c>
      <c r="D14" s="7">
        <v>13.0</v>
      </c>
      <c r="E14" s="7">
        <v>9.0</v>
      </c>
      <c r="F14" s="7">
        <v>16.0</v>
      </c>
      <c r="G14" s="7">
        <v>45.0</v>
      </c>
      <c r="H14" s="7">
        <v>49.0</v>
      </c>
      <c r="I14" s="7">
        <v>-4.0</v>
      </c>
      <c r="J14" s="7">
        <v>48.0</v>
      </c>
      <c r="K14" s="9">
        <v>17425.0</v>
      </c>
      <c r="L14" s="10">
        <v>18064.0</v>
      </c>
      <c r="M14" s="11">
        <v>1.57185E8</v>
      </c>
      <c r="N14" s="12">
        <v>8.0</v>
      </c>
      <c r="O14" s="13">
        <v>45435.0</v>
      </c>
      <c r="P14" s="14">
        <v>2.24549E8</v>
      </c>
      <c r="Q14" s="14"/>
      <c r="R14" s="25"/>
      <c r="S14" s="26"/>
    </row>
    <row r="15">
      <c r="A15" s="21">
        <v>14.0</v>
      </c>
      <c r="B15" s="20" t="s">
        <v>49</v>
      </c>
      <c r="C15" s="7">
        <v>38.0</v>
      </c>
      <c r="D15" s="7">
        <v>12.0</v>
      </c>
      <c r="E15" s="7">
        <v>10.0</v>
      </c>
      <c r="F15" s="7">
        <v>16.0</v>
      </c>
      <c r="G15" s="7">
        <v>38.0</v>
      </c>
      <c r="H15" s="7">
        <v>46.0</v>
      </c>
      <c r="I15" s="7">
        <v>-8.0</v>
      </c>
      <c r="J15" s="7">
        <v>46.0</v>
      </c>
      <c r="K15" s="9">
        <v>16751.0</v>
      </c>
      <c r="L15" s="10">
        <v>21495.0</v>
      </c>
      <c r="M15" s="29">
        <v>5.4306E8</v>
      </c>
      <c r="N15" s="12">
        <v>2.0</v>
      </c>
      <c r="O15" s="13">
        <v>45557.0</v>
      </c>
      <c r="P15" s="14">
        <v>1.79325E8</v>
      </c>
      <c r="Q15" s="14"/>
      <c r="R15" s="25"/>
      <c r="S15" s="26"/>
    </row>
    <row r="16">
      <c r="A16" s="21">
        <v>15.0</v>
      </c>
      <c r="B16" s="20" t="s">
        <v>50</v>
      </c>
      <c r="C16" s="7">
        <v>38.0</v>
      </c>
      <c r="D16" s="7">
        <v>13.0</v>
      </c>
      <c r="E16" s="7">
        <v>4.0</v>
      </c>
      <c r="F16" s="7">
        <v>21.0</v>
      </c>
      <c r="G16" s="7">
        <v>31.0</v>
      </c>
      <c r="H16" s="7">
        <v>45.0</v>
      </c>
      <c r="I16" s="7">
        <v>-14.0</v>
      </c>
      <c r="J16" s="7">
        <v>43.0</v>
      </c>
      <c r="K16" s="9">
        <v>15449.0</v>
      </c>
      <c r="L16" s="7">
        <v>17550.0</v>
      </c>
      <c r="M16" s="11">
        <v>1.38006E8</v>
      </c>
      <c r="N16" s="30">
        <v>5.0</v>
      </c>
      <c r="O16" s="13">
        <v>45374.0</v>
      </c>
      <c r="P16" s="14">
        <v>1.4895E8</v>
      </c>
      <c r="Q16" s="14"/>
      <c r="R16" s="25"/>
      <c r="S16" s="31"/>
    </row>
    <row r="17">
      <c r="A17" s="21">
        <v>16.0</v>
      </c>
      <c r="B17" s="20" t="s">
        <v>51</v>
      </c>
      <c r="C17" s="7">
        <v>38.0</v>
      </c>
      <c r="D17" s="7">
        <v>10.0</v>
      </c>
      <c r="E17" s="7">
        <v>9.0</v>
      </c>
      <c r="F17" s="7">
        <v>19.0</v>
      </c>
      <c r="G17" s="7">
        <v>36.0</v>
      </c>
      <c r="H17" s="7">
        <v>41.0</v>
      </c>
      <c r="I17" s="7">
        <v>-5.0</v>
      </c>
      <c r="J17" s="7">
        <v>39.0</v>
      </c>
      <c r="K17" s="27">
        <v>14935.0</v>
      </c>
      <c r="L17" s="10">
        <v>15897.0</v>
      </c>
      <c r="M17" s="11">
        <v>4.4046E7</v>
      </c>
      <c r="N17" s="12">
        <v>0.0</v>
      </c>
      <c r="O17" s="13">
        <v>45468.0</v>
      </c>
      <c r="P17" s="14">
        <v>9.9675E7</v>
      </c>
      <c r="Q17" s="14"/>
      <c r="R17" s="25"/>
      <c r="S17" s="31"/>
    </row>
    <row r="18">
      <c r="A18" s="32">
        <v>17.0</v>
      </c>
      <c r="B18" s="20" t="s">
        <v>52</v>
      </c>
      <c r="C18" s="7">
        <v>38.0</v>
      </c>
      <c r="D18" s="7">
        <v>7.0</v>
      </c>
      <c r="E18" s="7">
        <v>15.0</v>
      </c>
      <c r="F18" s="7">
        <v>16.0</v>
      </c>
      <c r="G18" s="7">
        <v>27.0</v>
      </c>
      <c r="H18" s="7">
        <v>46.0</v>
      </c>
      <c r="I18" s="7">
        <v>-19.0</v>
      </c>
      <c r="J18" s="7">
        <v>36.0</v>
      </c>
      <c r="K18" s="27">
        <v>12015.0</v>
      </c>
      <c r="L18" s="10">
        <v>18869.0</v>
      </c>
      <c r="M18" s="11">
        <v>9.3006E7</v>
      </c>
      <c r="N18" s="12">
        <v>4.0</v>
      </c>
      <c r="O18" s="13">
        <v>45527.0</v>
      </c>
      <c r="P18" s="14">
        <v>2.31435E8</v>
      </c>
      <c r="Q18" s="14"/>
      <c r="R18" s="25"/>
      <c r="S18" s="26"/>
    </row>
    <row r="19">
      <c r="A19" s="32">
        <v>18.0</v>
      </c>
      <c r="B19" s="20" t="s">
        <v>53</v>
      </c>
      <c r="C19" s="7">
        <v>38.0</v>
      </c>
      <c r="D19" s="7">
        <v>8.0</v>
      </c>
      <c r="E19" s="7">
        <v>8.0</v>
      </c>
      <c r="F19" s="7">
        <v>22.0</v>
      </c>
      <c r="G19" s="7">
        <v>24.0</v>
      </c>
      <c r="H19" s="7">
        <v>58.0</v>
      </c>
      <c r="I19" s="7">
        <v>-34.0</v>
      </c>
      <c r="J19" s="7">
        <v>32.0</v>
      </c>
      <c r="K19" s="27">
        <v>10388.0</v>
      </c>
      <c r="L19" s="7">
        <v>13965.0</v>
      </c>
      <c r="M19" s="11">
        <v>2.7081E7</v>
      </c>
      <c r="N19" s="12">
        <v>7.0</v>
      </c>
      <c r="O19" s="13">
        <v>45377.0</v>
      </c>
      <c r="P19" s="14">
        <v>1.29015E8</v>
      </c>
      <c r="Q19" s="14"/>
      <c r="R19" s="25"/>
      <c r="S19" s="26"/>
    </row>
    <row r="20">
      <c r="A20" s="32">
        <v>19.0</v>
      </c>
      <c r="B20" s="20" t="s">
        <v>54</v>
      </c>
      <c r="C20" s="7">
        <v>38.0</v>
      </c>
      <c r="D20" s="7">
        <v>7.0</v>
      </c>
      <c r="E20" s="7">
        <v>11.0</v>
      </c>
      <c r="F20" s="7">
        <v>20.0</v>
      </c>
      <c r="G20" s="7">
        <v>31.0</v>
      </c>
      <c r="H20" s="7">
        <v>52.0</v>
      </c>
      <c r="I20" s="7">
        <v>-21.0</v>
      </c>
      <c r="J20" s="7">
        <v>32.0</v>
      </c>
      <c r="K20" s="9">
        <v>8338.0</v>
      </c>
      <c r="L20" s="10">
        <v>14787.0</v>
      </c>
      <c r="M20" s="11">
        <v>7.8885E7</v>
      </c>
      <c r="N20" s="24">
        <v>2.0</v>
      </c>
      <c r="O20" s="13">
        <v>45468.0</v>
      </c>
      <c r="P20" s="14">
        <v>1.48725E8</v>
      </c>
      <c r="Q20" s="14"/>
      <c r="R20" s="25"/>
      <c r="S20" s="26"/>
    </row>
    <row r="21">
      <c r="A21" s="33">
        <v>20.0</v>
      </c>
      <c r="B21" s="34" t="s">
        <v>55</v>
      </c>
      <c r="C21" s="28">
        <v>38.0</v>
      </c>
      <c r="D21" s="28">
        <v>3.0</v>
      </c>
      <c r="E21" s="28">
        <v>11.0</v>
      </c>
      <c r="F21" s="28">
        <v>24.0</v>
      </c>
      <c r="G21" s="28">
        <v>18.0</v>
      </c>
      <c r="H21" s="28">
        <v>62.0</v>
      </c>
      <c r="I21" s="28">
        <v>-44.0</v>
      </c>
      <c r="J21" s="28">
        <v>20.0</v>
      </c>
      <c r="K21" s="28" t="s">
        <v>56</v>
      </c>
      <c r="L21" s="7">
        <v>16439.0</v>
      </c>
      <c r="M21" s="11">
        <v>1.7055E7</v>
      </c>
      <c r="N21" s="12">
        <v>4.0</v>
      </c>
      <c r="O21" s="35">
        <v>45346.0</v>
      </c>
      <c r="P21" s="36">
        <v>5.6699E7</v>
      </c>
      <c r="Q21" s="36"/>
      <c r="R21" s="37"/>
    </row>
    <row r="22">
      <c r="A22" s="38"/>
      <c r="K22" s="38"/>
      <c r="M22" s="38"/>
      <c r="N22" s="3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</hyperlinks>
  <drawing r:id="rId21"/>
</worksheet>
</file>